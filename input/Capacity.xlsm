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yannonghuang/Documents/personal/projects/SRI/Import prospects/Adexa/Innolight/PoC 2023/Adexa Feeds/input/"/>
    </mc:Choice>
  </mc:AlternateContent>
  <xr:revisionPtr revIDLastSave="0" documentId="13_ncr:1_{09CA1CC7-784F-4C44-AA05-5939A008C03D}" xr6:coauthVersionLast="47" xr6:coauthVersionMax="47" xr10:uidLastSave="{00000000-0000-0000-0000-000000000000}"/>
  <bookViews>
    <workbookView xWindow="1460" yWindow="3640" windowWidth="36000" windowHeight="17660" xr2:uid="{00000000-000D-0000-FFFF-FFFF00000000}"/>
  </bookViews>
  <sheets>
    <sheet name="Capacity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J2" i="1" s="1"/>
  <c r="K2" i="1" s="1"/>
  <c r="L2" i="1" s="1"/>
  <c r="M2" i="1" s="1"/>
  <c r="N2" i="1" s="1"/>
  <c r="O2" i="1" s="1"/>
  <c r="P2" i="1" s="1"/>
  <c r="Q2" i="1" s="1"/>
  <c r="R2" i="1" s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I16" i="1"/>
  <c r="J16" i="1" s="1"/>
  <c r="K16" i="1" s="1"/>
  <c r="L16" i="1" s="1"/>
  <c r="M16" i="1" s="1"/>
  <c r="N16" i="1" s="1"/>
  <c r="O16" i="1" s="1"/>
  <c r="P16" i="1" s="1"/>
  <c r="Q16" i="1" s="1"/>
  <c r="R16" i="1" s="1"/>
  <c r="H16" i="1"/>
  <c r="I15" i="1"/>
  <c r="J15" i="1" s="1"/>
  <c r="K15" i="1" s="1"/>
  <c r="L15" i="1" s="1"/>
  <c r="M15" i="1" s="1"/>
  <c r="N15" i="1" s="1"/>
  <c r="O15" i="1" s="1"/>
  <c r="P15" i="1" s="1"/>
  <c r="Q15" i="1" s="1"/>
  <c r="R15" i="1" s="1"/>
  <c r="H15" i="1"/>
  <c r="H14" i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H13" i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H11" i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H10" i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H9" i="1"/>
  <c r="I9" i="1" s="1"/>
  <c r="J9" i="1" s="1"/>
  <c r="K9" i="1" s="1"/>
  <c r="L9" i="1" s="1"/>
  <c r="M9" i="1" s="1"/>
  <c r="N9" i="1" s="1"/>
  <c r="O9" i="1" s="1"/>
  <c r="P9" i="1" s="1"/>
  <c r="Q9" i="1" s="1"/>
  <c r="R9" i="1" s="1"/>
  <c r="I8" i="1"/>
  <c r="J8" i="1" s="1"/>
  <c r="K8" i="1" s="1"/>
  <c r="L8" i="1" s="1"/>
  <c r="M8" i="1" s="1"/>
  <c r="N8" i="1" s="1"/>
  <c r="O8" i="1" s="1"/>
  <c r="P8" i="1" s="1"/>
  <c r="Q8" i="1" s="1"/>
  <c r="R8" i="1" s="1"/>
  <c r="H8" i="1"/>
  <c r="I7" i="1"/>
  <c r="J7" i="1" s="1"/>
  <c r="K7" i="1" s="1"/>
  <c r="L7" i="1" s="1"/>
  <c r="M7" i="1" s="1"/>
  <c r="N7" i="1" s="1"/>
  <c r="O7" i="1" s="1"/>
  <c r="P7" i="1" s="1"/>
  <c r="Q7" i="1" s="1"/>
  <c r="R7" i="1" s="1"/>
  <c r="H7" i="1"/>
  <c r="H6" i="1"/>
  <c r="I6" i="1" s="1"/>
  <c r="J6" i="1" s="1"/>
  <c r="K6" i="1" s="1"/>
  <c r="L6" i="1" s="1"/>
  <c r="M6" i="1" s="1"/>
  <c r="N6" i="1" s="1"/>
  <c r="O6" i="1" s="1"/>
  <c r="P6" i="1" s="1"/>
  <c r="Q6" i="1" s="1"/>
  <c r="R6" i="1" s="1"/>
  <c r="H5" i="1"/>
  <c r="I5" i="1" s="1"/>
  <c r="J5" i="1" s="1"/>
  <c r="K5" i="1" s="1"/>
  <c r="L5" i="1" s="1"/>
  <c r="M5" i="1" s="1"/>
  <c r="N5" i="1" s="1"/>
  <c r="O5" i="1" s="1"/>
  <c r="P5" i="1" s="1"/>
  <c r="Q5" i="1" s="1"/>
  <c r="R5" i="1" s="1"/>
  <c r="H4" i="1"/>
  <c r="I4" i="1" s="1"/>
  <c r="J4" i="1" s="1"/>
  <c r="K4" i="1" s="1"/>
  <c r="L4" i="1" s="1"/>
  <c r="M4" i="1" s="1"/>
  <c r="N4" i="1" s="1"/>
  <c r="O4" i="1" s="1"/>
  <c r="P4" i="1" s="1"/>
  <c r="Q4" i="1" s="1"/>
  <c r="R4" i="1" s="1"/>
  <c r="H3" i="1"/>
  <c r="I3" i="1" s="1"/>
  <c r="J3" i="1" s="1"/>
  <c r="K3" i="1" s="1"/>
  <c r="L3" i="1" s="1"/>
  <c r="M3" i="1" s="1"/>
  <c r="N3" i="1" s="1"/>
  <c r="O3" i="1" s="1"/>
  <c r="P3" i="1" s="1"/>
  <c r="Q3" i="1" s="1"/>
  <c r="R3" i="1" s="1"/>
  <c r="H2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 donghai</author>
    <author>徐剑飞 Jeff xu</author>
  </authors>
  <commentList>
    <comment ref="S9" authorId="0" shapeId="0" xr:uid="{BA8E1E6C-E7D5-4E8C-8894-7EA6AE77B0D2}">
      <text>
        <r>
          <rPr>
            <b/>
            <sz val="9"/>
            <color indexed="81"/>
            <rFont val="宋体"/>
            <family val="3"/>
            <charset val="134"/>
          </rPr>
          <t>cai donghai:</t>
        </r>
        <r>
          <rPr>
            <sz val="9"/>
            <color indexed="81"/>
            <rFont val="宋体"/>
            <family val="3"/>
            <charset val="134"/>
          </rPr>
          <t xml:space="preserve">
假设苏州，实际在铜陵</t>
        </r>
      </text>
    </comment>
    <comment ref="S12" authorId="0" shapeId="0" xr:uid="{A87C1432-0B93-49DC-B0C0-BE7E2BC7CAC4}">
      <text>
        <r>
          <rPr>
            <b/>
            <sz val="9"/>
            <color indexed="81"/>
            <rFont val="宋体"/>
            <family val="3"/>
            <charset val="134"/>
          </rPr>
          <t>cai donghai:</t>
        </r>
        <r>
          <rPr>
            <sz val="9"/>
            <color indexed="81"/>
            <rFont val="宋体"/>
            <family val="3"/>
            <charset val="134"/>
          </rPr>
          <t xml:space="preserve">
假设苏州，实际在铜陵</t>
        </r>
      </text>
    </comment>
    <comment ref="D21" authorId="1" shapeId="0" xr:uid="{89BFBD1D-4607-754C-84B1-3FFFAC99F6BD}">
      <text>
        <r>
          <rPr>
            <b/>
            <sz val="9"/>
            <color indexed="81"/>
            <rFont val="宋体"/>
            <family val="3"/>
            <charset val="134"/>
          </rPr>
          <t>LENS产出满足OE需求</t>
        </r>
      </text>
    </comment>
    <comment ref="D34" authorId="1" shapeId="0" xr:uid="{A17DED81-B581-164D-9122-722E7AFDDDF6}">
      <text>
        <r>
          <rPr>
            <b/>
            <sz val="9"/>
            <color indexed="81"/>
            <rFont val="宋体"/>
            <family val="3"/>
            <charset val="134"/>
          </rPr>
          <t>LENS产出满足OE需求</t>
        </r>
      </text>
    </comment>
  </commentList>
</comments>
</file>

<file path=xl/sharedStrings.xml><?xml version="1.0" encoding="utf-8"?>
<sst xmlns="http://schemas.openxmlformats.org/spreadsheetml/2006/main" count="163" uniqueCount="47">
  <si>
    <t>COP GEN2</t>
    <phoneticPr fontId="2" type="noConversion"/>
  </si>
  <si>
    <t>COP GEN3</t>
    <phoneticPr fontId="2" type="noConversion"/>
  </si>
  <si>
    <t>40G LX4</t>
    <phoneticPr fontId="2" type="noConversion"/>
  </si>
  <si>
    <t>100G QSFP28 CWDM4 GEN2</t>
    <phoneticPr fontId="2" type="noConversion"/>
  </si>
  <si>
    <t>TX COC</t>
    <phoneticPr fontId="2" type="noConversion"/>
  </si>
  <si>
    <t>CB</t>
  </si>
  <si>
    <t>OB</t>
    <phoneticPr fontId="2" type="noConversion"/>
  </si>
  <si>
    <t>100G QSFP28 CWDM4 GEN3</t>
    <phoneticPr fontId="2" type="noConversion"/>
  </si>
  <si>
    <t>Preform</t>
    <phoneticPr fontId="2" type="noConversion"/>
  </si>
  <si>
    <t>40G QSFP+ LX4 (100G平台)</t>
    <phoneticPr fontId="2" type="noConversion"/>
  </si>
  <si>
    <t>Model</t>
  </si>
  <si>
    <t>Process</t>
  </si>
  <si>
    <t>Max daily yield</t>
  </si>
  <si>
    <t>Machine uph</t>
  </si>
  <si>
    <t>labor uph</t>
  </si>
  <si>
    <t>yield M1</t>
  </si>
  <si>
    <t>yield M2</t>
  </si>
  <si>
    <t>yield M3</t>
  </si>
  <si>
    <t>yield M4</t>
  </si>
  <si>
    <t>yield M5</t>
  </si>
  <si>
    <t>yield M6</t>
  </si>
  <si>
    <t>yield M7</t>
  </si>
  <si>
    <t>yield M8</t>
  </si>
  <si>
    <t>yield M9</t>
  </si>
  <si>
    <t>yield M10</t>
  </si>
  <si>
    <t>yield M11</t>
  </si>
  <si>
    <t>yield M12</t>
  </si>
  <si>
    <t>Plant</t>
    <phoneticPr fontId="1" type="noConversion"/>
  </si>
  <si>
    <t>Module_COP</t>
  </si>
  <si>
    <t>100G SR4</t>
  </si>
  <si>
    <t>100G QSFP28 SR4 Gen2</t>
  </si>
  <si>
    <t>LENS</t>
  </si>
  <si>
    <t>未投产</t>
    <phoneticPr fontId="1" type="noConversion"/>
  </si>
  <si>
    <t>OE</t>
  </si>
  <si>
    <t>100G QSFP28 SR4 Gen3</t>
    <phoneticPr fontId="1" type="noConversion"/>
  </si>
  <si>
    <t>/</t>
    <phoneticPr fontId="1" type="noConversion"/>
  </si>
  <si>
    <t>100G QSFP28 SR4 Gen3</t>
  </si>
  <si>
    <t>40G QSFP+ SR4/eSR4 (100G平台)</t>
  </si>
  <si>
    <t>QSFP28 AOC</t>
  </si>
  <si>
    <t>100G AOC Breakout</t>
    <phoneticPr fontId="1" type="noConversion"/>
  </si>
  <si>
    <t>/</t>
  </si>
  <si>
    <t>100G AOC Breakout</t>
  </si>
  <si>
    <t>100G QSFP28 AOC Gen2</t>
  </si>
  <si>
    <t>100G QSFP28 AOC Gen3</t>
  </si>
  <si>
    <t>100G QSFP28 to 2x50G QSFP28 AOC Gen3.0</t>
  </si>
  <si>
    <t>100G QSFP28 to 2x50G QSFP28 AOC Gen3.0</t>
    <phoneticPr fontId="1" type="noConversion"/>
  </si>
  <si>
    <t>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</si>
</sst>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[$-409]mmm\-yy;@"/>
  </numFmts>
  <fonts count="6">
    <font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theme="1"/>
      <name val="等线"/>
      <family val="2"/>
      <scheme val="minor"/>
    </font>
    <font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7" fontId="4" fillId="0" borderId="0">
      <alignment vertical="center"/>
    </xf>
  </cellStyleXfs>
  <cellXfs count="1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76" fontId="0" fillId="0" borderId="1" xfId="0" applyNumberFormat="1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8" borderId="1" xfId="0" applyFill="1" applyBorder="1"/>
    <xf numFmtId="0" fontId="0" fillId="3" borderId="1" xfId="0" applyFill="1" applyBorder="1" applyAlignment="1">
      <alignment horizontal="center" vertical="center"/>
    </xf>
  </cellXfs>
  <cellStyles count="2">
    <cellStyle name="Normal" xfId="0" builtinId="0"/>
    <cellStyle name="常规 2 2 2 2 2 2 2" xfId="1" xr:uid="{880AE3B4-A775-4632-A78B-D6445616A8D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0"/>
  <sheetViews>
    <sheetView tabSelected="1" zoomScale="85" zoomScaleNormal="85" workbookViewId="0">
      <selection activeCell="D45" sqref="D45"/>
    </sheetView>
  </sheetViews>
  <sheetFormatPr baseColWidth="10" defaultColWidth="8.83203125" defaultRowHeight="15"/>
  <cols>
    <col min="1" max="1" width="16.33203125" customWidth="1"/>
    <col min="2" max="2" width="37.1640625" bestFit="1" customWidth="1"/>
    <col min="3" max="3" width="12.5" bestFit="1" customWidth="1"/>
    <col min="4" max="4" width="12.83203125" style="4" bestFit="1" customWidth="1"/>
    <col min="5" max="6" width="8.1640625" style="4" bestFit="1" customWidth="1"/>
    <col min="7" max="15" width="9.5" bestFit="1" customWidth="1"/>
    <col min="16" max="18" width="10.5" bestFit="1" customWidth="1"/>
  </cols>
  <sheetData>
    <row r="1" spans="1:19">
      <c r="A1" s="2" t="s">
        <v>10</v>
      </c>
      <c r="B1" s="2" t="s">
        <v>10</v>
      </c>
      <c r="C1" s="2" t="s">
        <v>11</v>
      </c>
      <c r="D1" s="3" t="s">
        <v>12</v>
      </c>
      <c r="E1" s="3" t="s">
        <v>13</v>
      </c>
      <c r="F1" s="3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25</v>
      </c>
      <c r="R1" s="2" t="s">
        <v>26</v>
      </c>
      <c r="S1" s="5" t="s">
        <v>27</v>
      </c>
    </row>
    <row r="2" spans="1:19">
      <c r="A2" s="1" t="s">
        <v>0</v>
      </c>
      <c r="B2" s="1" t="s">
        <v>3</v>
      </c>
      <c r="C2" s="2" t="s">
        <v>4</v>
      </c>
      <c r="D2" s="3">
        <v>1100</v>
      </c>
      <c r="E2" s="10">
        <v>6.1223333333333303E-2</v>
      </c>
      <c r="F2" s="10">
        <v>9.01E-2</v>
      </c>
      <c r="G2" s="2">
        <f>D2*26</f>
        <v>28600</v>
      </c>
      <c r="H2" s="2">
        <f>G2</f>
        <v>28600</v>
      </c>
      <c r="I2" s="2">
        <f t="shared" ref="I2:R2" si="0">H2</f>
        <v>28600</v>
      </c>
      <c r="J2" s="2">
        <f t="shared" si="0"/>
        <v>28600</v>
      </c>
      <c r="K2" s="2">
        <f t="shared" si="0"/>
        <v>28600</v>
      </c>
      <c r="L2" s="2">
        <f t="shared" si="0"/>
        <v>28600</v>
      </c>
      <c r="M2" s="2">
        <f t="shared" si="0"/>
        <v>28600</v>
      </c>
      <c r="N2" s="2">
        <f t="shared" si="0"/>
        <v>28600</v>
      </c>
      <c r="O2" s="2">
        <f t="shared" si="0"/>
        <v>28600</v>
      </c>
      <c r="P2" s="2">
        <f t="shared" si="0"/>
        <v>28600</v>
      </c>
      <c r="Q2" s="2">
        <f t="shared" si="0"/>
        <v>28600</v>
      </c>
      <c r="R2" s="2">
        <f t="shared" si="0"/>
        <v>28600</v>
      </c>
      <c r="S2" s="5">
        <v>2000</v>
      </c>
    </row>
    <row r="3" spans="1:19">
      <c r="A3" s="1" t="s">
        <v>0</v>
      </c>
      <c r="B3" s="1" t="s">
        <v>3</v>
      </c>
      <c r="C3" s="2" t="s">
        <v>5</v>
      </c>
      <c r="D3" s="3">
        <v>1000</v>
      </c>
      <c r="E3" s="10">
        <v>6.8169999999999994E-2</v>
      </c>
      <c r="F3" s="10">
        <v>0.218067233333333</v>
      </c>
      <c r="G3" s="2">
        <f t="shared" ref="G3:G17" si="1">D3*26</f>
        <v>26000</v>
      </c>
      <c r="H3" s="2">
        <f t="shared" ref="H3:R3" si="2">G3</f>
        <v>26000</v>
      </c>
      <c r="I3" s="2">
        <f t="shared" si="2"/>
        <v>26000</v>
      </c>
      <c r="J3" s="2">
        <f t="shared" si="2"/>
        <v>26000</v>
      </c>
      <c r="K3" s="2">
        <f t="shared" si="2"/>
        <v>26000</v>
      </c>
      <c r="L3" s="2">
        <f t="shared" si="2"/>
        <v>26000</v>
      </c>
      <c r="M3" s="2">
        <f t="shared" si="2"/>
        <v>26000</v>
      </c>
      <c r="N3" s="2">
        <f t="shared" si="2"/>
        <v>26000</v>
      </c>
      <c r="O3" s="2">
        <f t="shared" si="2"/>
        <v>26000</v>
      </c>
      <c r="P3" s="2">
        <f t="shared" si="2"/>
        <v>26000</v>
      </c>
      <c r="Q3" s="2">
        <f t="shared" si="2"/>
        <v>26000</v>
      </c>
      <c r="R3" s="2">
        <f t="shared" si="2"/>
        <v>26000</v>
      </c>
      <c r="S3" s="5">
        <v>2000</v>
      </c>
    </row>
    <row r="4" spans="1:19">
      <c r="A4" s="1" t="s">
        <v>0</v>
      </c>
      <c r="B4" s="1" t="s">
        <v>3</v>
      </c>
      <c r="C4" s="2" t="s">
        <v>6</v>
      </c>
      <c r="D4" s="3">
        <v>960</v>
      </c>
      <c r="E4" s="10">
        <v>0.13736000000000001</v>
      </c>
      <c r="F4" s="10">
        <v>0.24833333333333299</v>
      </c>
      <c r="G4" s="2">
        <f t="shared" si="1"/>
        <v>24960</v>
      </c>
      <c r="H4" s="2">
        <f t="shared" ref="H4:R4" si="3">G4</f>
        <v>24960</v>
      </c>
      <c r="I4" s="2">
        <f t="shared" si="3"/>
        <v>24960</v>
      </c>
      <c r="J4" s="2">
        <f t="shared" si="3"/>
        <v>24960</v>
      </c>
      <c r="K4" s="2">
        <f t="shared" si="3"/>
        <v>24960</v>
      </c>
      <c r="L4" s="2">
        <f t="shared" si="3"/>
        <v>24960</v>
      </c>
      <c r="M4" s="2">
        <f t="shared" si="3"/>
        <v>24960</v>
      </c>
      <c r="N4" s="2">
        <f t="shared" si="3"/>
        <v>24960</v>
      </c>
      <c r="O4" s="2">
        <f t="shared" si="3"/>
        <v>24960</v>
      </c>
      <c r="P4" s="2">
        <f t="shared" si="3"/>
        <v>24960</v>
      </c>
      <c r="Q4" s="2">
        <f t="shared" si="3"/>
        <v>24960</v>
      </c>
      <c r="R4" s="2">
        <f t="shared" si="3"/>
        <v>24960</v>
      </c>
      <c r="S4" s="5">
        <v>2000</v>
      </c>
    </row>
    <row r="5" spans="1:19">
      <c r="A5" s="1" t="s">
        <v>0</v>
      </c>
      <c r="B5" s="1" t="s">
        <v>3</v>
      </c>
      <c r="C5" s="2" t="s">
        <v>28</v>
      </c>
      <c r="D5" s="3">
        <v>800</v>
      </c>
      <c r="E5" s="10">
        <v>0.31605549666666699</v>
      </c>
      <c r="F5" s="10">
        <v>0.384015259259259</v>
      </c>
      <c r="G5" s="2">
        <f t="shared" si="1"/>
        <v>20800</v>
      </c>
      <c r="H5" s="2">
        <f t="shared" ref="H5:R5" si="4">G5</f>
        <v>20800</v>
      </c>
      <c r="I5" s="2">
        <f t="shared" si="4"/>
        <v>20800</v>
      </c>
      <c r="J5" s="2">
        <f t="shared" si="4"/>
        <v>20800</v>
      </c>
      <c r="K5" s="2">
        <f t="shared" si="4"/>
        <v>20800</v>
      </c>
      <c r="L5" s="2">
        <f t="shared" si="4"/>
        <v>20800</v>
      </c>
      <c r="M5" s="2">
        <f t="shared" si="4"/>
        <v>20800</v>
      </c>
      <c r="N5" s="2">
        <f t="shared" si="4"/>
        <v>20800</v>
      </c>
      <c r="O5" s="2">
        <f t="shared" si="4"/>
        <v>20800</v>
      </c>
      <c r="P5" s="2">
        <f t="shared" si="4"/>
        <v>20800</v>
      </c>
      <c r="Q5" s="2">
        <f t="shared" si="4"/>
        <v>20800</v>
      </c>
      <c r="R5" s="2">
        <f t="shared" si="4"/>
        <v>20800</v>
      </c>
      <c r="S5" s="5">
        <v>2000</v>
      </c>
    </row>
    <row r="6" spans="1:19">
      <c r="A6" s="1" t="s">
        <v>0</v>
      </c>
      <c r="B6" s="1" t="s">
        <v>3</v>
      </c>
      <c r="C6" s="2" t="s">
        <v>28</v>
      </c>
      <c r="D6" s="3">
        <v>500</v>
      </c>
      <c r="E6" s="10">
        <v>0.27</v>
      </c>
      <c r="F6" s="10">
        <v>0.232761</v>
      </c>
      <c r="G6" s="2">
        <f t="shared" si="1"/>
        <v>13000</v>
      </c>
      <c r="H6" s="2">
        <f t="shared" ref="H6:R6" si="5">G6</f>
        <v>13000</v>
      </c>
      <c r="I6" s="2">
        <f t="shared" si="5"/>
        <v>13000</v>
      </c>
      <c r="J6" s="2">
        <f t="shared" si="5"/>
        <v>13000</v>
      </c>
      <c r="K6" s="2">
        <f t="shared" si="5"/>
        <v>13000</v>
      </c>
      <c r="L6" s="2">
        <f t="shared" si="5"/>
        <v>13000</v>
      </c>
      <c r="M6" s="2">
        <f t="shared" si="5"/>
        <v>13000</v>
      </c>
      <c r="N6" s="2">
        <f t="shared" si="5"/>
        <v>13000</v>
      </c>
      <c r="O6" s="2">
        <f t="shared" si="5"/>
        <v>13000</v>
      </c>
      <c r="P6" s="2">
        <f t="shared" si="5"/>
        <v>13000</v>
      </c>
      <c r="Q6" s="2">
        <f t="shared" si="5"/>
        <v>13000</v>
      </c>
      <c r="R6" s="2">
        <f t="shared" si="5"/>
        <v>13000</v>
      </c>
      <c r="S6" s="8">
        <v>6000</v>
      </c>
    </row>
    <row r="7" spans="1:19">
      <c r="A7" s="1" t="s">
        <v>0</v>
      </c>
      <c r="B7" s="1" t="s">
        <v>3</v>
      </c>
      <c r="C7" s="2" t="s">
        <v>28</v>
      </c>
      <c r="D7" s="3">
        <v>100</v>
      </c>
      <c r="E7" s="10">
        <v>0.27</v>
      </c>
      <c r="F7" s="10">
        <v>0.232761</v>
      </c>
      <c r="G7" s="2">
        <f t="shared" si="1"/>
        <v>2600</v>
      </c>
      <c r="H7" s="2">
        <f t="shared" ref="H7:R7" si="6">G7</f>
        <v>2600</v>
      </c>
      <c r="I7" s="2">
        <f t="shared" si="6"/>
        <v>2600</v>
      </c>
      <c r="J7" s="2">
        <f t="shared" si="6"/>
        <v>2600</v>
      </c>
      <c r="K7" s="2">
        <f t="shared" si="6"/>
        <v>2600</v>
      </c>
      <c r="L7" s="2">
        <f t="shared" si="6"/>
        <v>2600</v>
      </c>
      <c r="M7" s="2">
        <f t="shared" si="6"/>
        <v>2600</v>
      </c>
      <c r="N7" s="2">
        <f t="shared" si="6"/>
        <v>2600</v>
      </c>
      <c r="O7" s="2">
        <f t="shared" si="6"/>
        <v>2600</v>
      </c>
      <c r="P7" s="2">
        <f t="shared" si="6"/>
        <v>2600</v>
      </c>
      <c r="Q7" s="2">
        <f t="shared" si="6"/>
        <v>2600</v>
      </c>
      <c r="R7" s="2">
        <f t="shared" si="6"/>
        <v>2600</v>
      </c>
      <c r="S7" s="9">
        <v>5000</v>
      </c>
    </row>
    <row r="8" spans="1:19">
      <c r="A8" s="6" t="s">
        <v>1</v>
      </c>
      <c r="B8" s="6" t="s">
        <v>7</v>
      </c>
      <c r="C8" s="2" t="s">
        <v>8</v>
      </c>
      <c r="D8" s="3">
        <v>500</v>
      </c>
      <c r="E8" s="10">
        <v>2.3699999999999999E-2</v>
      </c>
      <c r="F8" s="10">
        <v>0.1</v>
      </c>
      <c r="G8" s="2">
        <f t="shared" si="1"/>
        <v>13000</v>
      </c>
      <c r="H8" s="2">
        <f t="shared" ref="H8:R8" si="7">G8</f>
        <v>13000</v>
      </c>
      <c r="I8" s="2">
        <f t="shared" si="7"/>
        <v>13000</v>
      </c>
      <c r="J8" s="2">
        <f t="shared" si="7"/>
        <v>13000</v>
      </c>
      <c r="K8" s="2">
        <f t="shared" si="7"/>
        <v>13000</v>
      </c>
      <c r="L8" s="2">
        <f t="shared" si="7"/>
        <v>13000</v>
      </c>
      <c r="M8" s="2">
        <f t="shared" si="7"/>
        <v>13000</v>
      </c>
      <c r="N8" s="2">
        <f t="shared" si="7"/>
        <v>13000</v>
      </c>
      <c r="O8" s="2">
        <f t="shared" si="7"/>
        <v>13000</v>
      </c>
      <c r="P8" s="2">
        <f t="shared" si="7"/>
        <v>13000</v>
      </c>
      <c r="Q8" s="2">
        <f t="shared" si="7"/>
        <v>13000</v>
      </c>
      <c r="R8" s="2">
        <f t="shared" si="7"/>
        <v>13000</v>
      </c>
      <c r="S8" s="5">
        <v>2000</v>
      </c>
    </row>
    <row r="9" spans="1:19" s="11" customFormat="1">
      <c r="A9" s="1" t="s">
        <v>1</v>
      </c>
      <c r="B9" s="1" t="s">
        <v>7</v>
      </c>
      <c r="C9" s="1" t="s">
        <v>4</v>
      </c>
      <c r="D9" s="12">
        <v>600</v>
      </c>
      <c r="E9" s="13">
        <v>0.103553333333333</v>
      </c>
      <c r="F9" s="13">
        <v>9.1679999999999998E-2</v>
      </c>
      <c r="G9" s="2">
        <f t="shared" si="1"/>
        <v>15600</v>
      </c>
      <c r="H9" s="2">
        <f t="shared" ref="H9:R9" si="8">G9</f>
        <v>15600</v>
      </c>
      <c r="I9" s="2">
        <f t="shared" si="8"/>
        <v>15600</v>
      </c>
      <c r="J9" s="2">
        <f t="shared" si="8"/>
        <v>15600</v>
      </c>
      <c r="K9" s="2">
        <f t="shared" si="8"/>
        <v>15600</v>
      </c>
      <c r="L9" s="2">
        <f t="shared" si="8"/>
        <v>15600</v>
      </c>
      <c r="M9" s="2">
        <f t="shared" si="8"/>
        <v>15600</v>
      </c>
      <c r="N9" s="2">
        <f t="shared" si="8"/>
        <v>15600</v>
      </c>
      <c r="O9" s="2">
        <f t="shared" si="8"/>
        <v>15600</v>
      </c>
      <c r="P9" s="2">
        <f t="shared" si="8"/>
        <v>15600</v>
      </c>
      <c r="Q9" s="2">
        <f t="shared" si="8"/>
        <v>15600</v>
      </c>
      <c r="R9" s="2">
        <f t="shared" si="8"/>
        <v>15600</v>
      </c>
      <c r="S9" s="1">
        <v>1000</v>
      </c>
    </row>
    <row r="10" spans="1:19">
      <c r="A10" s="6" t="s">
        <v>1</v>
      </c>
      <c r="B10" s="6" t="s">
        <v>7</v>
      </c>
      <c r="C10" s="2" t="s">
        <v>5</v>
      </c>
      <c r="D10" s="3">
        <v>500</v>
      </c>
      <c r="E10" s="10">
        <v>6.0651666666666701E-2</v>
      </c>
      <c r="F10" s="10">
        <v>0.24678446666666701</v>
      </c>
      <c r="G10" s="2">
        <f t="shared" si="1"/>
        <v>13000</v>
      </c>
      <c r="H10" s="2">
        <f t="shared" ref="H10:R10" si="9">G10</f>
        <v>13000</v>
      </c>
      <c r="I10" s="2">
        <f t="shared" si="9"/>
        <v>13000</v>
      </c>
      <c r="J10" s="2">
        <f t="shared" si="9"/>
        <v>13000</v>
      </c>
      <c r="K10" s="2">
        <f t="shared" si="9"/>
        <v>13000</v>
      </c>
      <c r="L10" s="2">
        <f t="shared" si="9"/>
        <v>13000</v>
      </c>
      <c r="M10" s="2">
        <f t="shared" si="9"/>
        <v>13000</v>
      </c>
      <c r="N10" s="2">
        <f t="shared" si="9"/>
        <v>13000</v>
      </c>
      <c r="O10" s="2">
        <f t="shared" si="9"/>
        <v>13000</v>
      </c>
      <c r="P10" s="2">
        <f t="shared" si="9"/>
        <v>13000</v>
      </c>
      <c r="Q10" s="2">
        <f t="shared" si="9"/>
        <v>13000</v>
      </c>
      <c r="R10" s="2">
        <f t="shared" si="9"/>
        <v>13000</v>
      </c>
      <c r="S10" s="5">
        <v>2000</v>
      </c>
    </row>
    <row r="11" spans="1:19">
      <c r="A11" s="6" t="s">
        <v>1</v>
      </c>
      <c r="B11" s="6" t="s">
        <v>7</v>
      </c>
      <c r="C11" s="2" t="s">
        <v>6</v>
      </c>
      <c r="D11" s="3">
        <v>500</v>
      </c>
      <c r="E11" s="10">
        <v>0.163206666666667</v>
      </c>
      <c r="F11" s="10">
        <v>0.28000000000000003</v>
      </c>
      <c r="G11" s="2">
        <f t="shared" si="1"/>
        <v>13000</v>
      </c>
      <c r="H11" s="2">
        <f t="shared" ref="H11:R11" si="10">G11</f>
        <v>13000</v>
      </c>
      <c r="I11" s="2">
        <f t="shared" si="10"/>
        <v>13000</v>
      </c>
      <c r="J11" s="2">
        <f t="shared" si="10"/>
        <v>13000</v>
      </c>
      <c r="K11" s="2">
        <f t="shared" si="10"/>
        <v>13000</v>
      </c>
      <c r="L11" s="2">
        <f t="shared" si="10"/>
        <v>13000</v>
      </c>
      <c r="M11" s="2">
        <f t="shared" si="10"/>
        <v>13000</v>
      </c>
      <c r="N11" s="2">
        <f t="shared" si="10"/>
        <v>13000</v>
      </c>
      <c r="O11" s="2">
        <f t="shared" si="10"/>
        <v>13000</v>
      </c>
      <c r="P11" s="2">
        <f t="shared" si="10"/>
        <v>13000</v>
      </c>
      <c r="Q11" s="2">
        <f t="shared" si="10"/>
        <v>13000</v>
      </c>
      <c r="R11" s="2">
        <f t="shared" si="10"/>
        <v>13000</v>
      </c>
      <c r="S11" s="5">
        <v>2000</v>
      </c>
    </row>
    <row r="12" spans="1:19" s="11" customFormat="1">
      <c r="A12" s="1" t="s">
        <v>1</v>
      </c>
      <c r="B12" s="1" t="s">
        <v>7</v>
      </c>
      <c r="C12" s="1" t="s">
        <v>28</v>
      </c>
      <c r="D12" s="12">
        <v>500</v>
      </c>
      <c r="E12" s="13">
        <v>0.3</v>
      </c>
      <c r="F12" s="13">
        <v>0.251677759259259</v>
      </c>
      <c r="G12" s="2">
        <f t="shared" si="1"/>
        <v>13000</v>
      </c>
      <c r="H12" s="2">
        <f t="shared" ref="H12:R12" si="11">G12</f>
        <v>13000</v>
      </c>
      <c r="I12" s="2">
        <f t="shared" si="11"/>
        <v>13000</v>
      </c>
      <c r="J12" s="2">
        <f t="shared" si="11"/>
        <v>13000</v>
      </c>
      <c r="K12" s="2">
        <f t="shared" si="11"/>
        <v>13000</v>
      </c>
      <c r="L12" s="2">
        <f t="shared" si="11"/>
        <v>13000</v>
      </c>
      <c r="M12" s="2">
        <f t="shared" si="11"/>
        <v>13000</v>
      </c>
      <c r="N12" s="2">
        <f t="shared" si="11"/>
        <v>13000</v>
      </c>
      <c r="O12" s="2">
        <f t="shared" si="11"/>
        <v>13000</v>
      </c>
      <c r="P12" s="2">
        <f t="shared" si="11"/>
        <v>13000</v>
      </c>
      <c r="Q12" s="2">
        <f t="shared" si="11"/>
        <v>13000</v>
      </c>
      <c r="R12" s="2">
        <f t="shared" si="11"/>
        <v>13000</v>
      </c>
      <c r="S12" s="1">
        <v>1000</v>
      </c>
    </row>
    <row r="13" spans="1:19">
      <c r="A13" s="7" t="s">
        <v>2</v>
      </c>
      <c r="B13" s="7" t="s">
        <v>9</v>
      </c>
      <c r="C13" s="2" t="s">
        <v>8</v>
      </c>
      <c r="D13" s="3">
        <v>300</v>
      </c>
      <c r="E13" s="10">
        <v>2.2831666666666701E-2</v>
      </c>
      <c r="F13" s="10">
        <v>0.1</v>
      </c>
      <c r="G13" s="2">
        <f t="shared" si="1"/>
        <v>7800</v>
      </c>
      <c r="H13" s="2">
        <f t="shared" ref="H13:R13" si="12">G13</f>
        <v>7800</v>
      </c>
      <c r="I13" s="2">
        <f t="shared" si="12"/>
        <v>7800</v>
      </c>
      <c r="J13" s="2">
        <f t="shared" si="12"/>
        <v>7800</v>
      </c>
      <c r="K13" s="2">
        <f t="shared" si="12"/>
        <v>7800</v>
      </c>
      <c r="L13" s="2">
        <f t="shared" si="12"/>
        <v>7800</v>
      </c>
      <c r="M13" s="2">
        <f t="shared" si="12"/>
        <v>7800</v>
      </c>
      <c r="N13" s="2">
        <f t="shared" si="12"/>
        <v>7800</v>
      </c>
      <c r="O13" s="2">
        <f t="shared" si="12"/>
        <v>7800</v>
      </c>
      <c r="P13" s="2">
        <f t="shared" si="12"/>
        <v>7800</v>
      </c>
      <c r="Q13" s="2">
        <f t="shared" si="12"/>
        <v>7800</v>
      </c>
      <c r="R13" s="2">
        <f t="shared" si="12"/>
        <v>7800</v>
      </c>
      <c r="S13" s="5">
        <v>2000</v>
      </c>
    </row>
    <row r="14" spans="1:19">
      <c r="A14" s="7" t="s">
        <v>2</v>
      </c>
      <c r="B14" s="7" t="s">
        <v>9</v>
      </c>
      <c r="C14" s="2" t="s">
        <v>4</v>
      </c>
      <c r="D14" s="3">
        <v>300</v>
      </c>
      <c r="E14" s="10">
        <v>0.176463571428571</v>
      </c>
      <c r="F14" s="10">
        <v>0.08</v>
      </c>
      <c r="G14" s="2">
        <f t="shared" si="1"/>
        <v>7800</v>
      </c>
      <c r="H14" s="2">
        <f t="shared" ref="H14:R14" si="13">G14</f>
        <v>7800</v>
      </c>
      <c r="I14" s="2">
        <f t="shared" si="13"/>
        <v>7800</v>
      </c>
      <c r="J14" s="2">
        <f t="shared" si="13"/>
        <v>7800</v>
      </c>
      <c r="K14" s="2">
        <f t="shared" si="13"/>
        <v>7800</v>
      </c>
      <c r="L14" s="2">
        <f t="shared" si="13"/>
        <v>7800</v>
      </c>
      <c r="M14" s="2">
        <f t="shared" si="13"/>
        <v>7800</v>
      </c>
      <c r="N14" s="2">
        <f t="shared" si="13"/>
        <v>7800</v>
      </c>
      <c r="O14" s="2">
        <f t="shared" si="13"/>
        <v>7800</v>
      </c>
      <c r="P14" s="2">
        <f t="shared" si="13"/>
        <v>7800</v>
      </c>
      <c r="Q14" s="2">
        <f t="shared" si="13"/>
        <v>7800</v>
      </c>
      <c r="R14" s="2">
        <f t="shared" si="13"/>
        <v>7800</v>
      </c>
      <c r="S14" s="5">
        <v>2000</v>
      </c>
    </row>
    <row r="15" spans="1:19">
      <c r="A15" s="7" t="s">
        <v>2</v>
      </c>
      <c r="B15" s="7" t="s">
        <v>9</v>
      </c>
      <c r="C15" s="2" t="s">
        <v>5</v>
      </c>
      <c r="D15" s="3">
        <v>260</v>
      </c>
      <c r="E15" s="10">
        <v>8.91666666666667E-2</v>
      </c>
      <c r="F15" s="10">
        <v>0.22</v>
      </c>
      <c r="G15" s="2">
        <f t="shared" si="1"/>
        <v>6760</v>
      </c>
      <c r="H15" s="2">
        <f t="shared" ref="H15:R15" si="14">G15</f>
        <v>6760</v>
      </c>
      <c r="I15" s="2">
        <f t="shared" si="14"/>
        <v>6760</v>
      </c>
      <c r="J15" s="2">
        <f t="shared" si="14"/>
        <v>6760</v>
      </c>
      <c r="K15" s="2">
        <f t="shared" si="14"/>
        <v>6760</v>
      </c>
      <c r="L15" s="2">
        <f t="shared" si="14"/>
        <v>6760</v>
      </c>
      <c r="M15" s="2">
        <f t="shared" si="14"/>
        <v>6760</v>
      </c>
      <c r="N15" s="2">
        <f t="shared" si="14"/>
        <v>6760</v>
      </c>
      <c r="O15" s="2">
        <f t="shared" si="14"/>
        <v>6760</v>
      </c>
      <c r="P15" s="2">
        <f t="shared" si="14"/>
        <v>6760</v>
      </c>
      <c r="Q15" s="2">
        <f t="shared" si="14"/>
        <v>6760</v>
      </c>
      <c r="R15" s="2">
        <f t="shared" si="14"/>
        <v>6760</v>
      </c>
      <c r="S15" s="5">
        <v>2000</v>
      </c>
    </row>
    <row r="16" spans="1:19">
      <c r="A16" s="7" t="s">
        <v>2</v>
      </c>
      <c r="B16" s="7" t="s">
        <v>9</v>
      </c>
      <c r="C16" s="2" t="s">
        <v>6</v>
      </c>
      <c r="D16" s="3">
        <v>240</v>
      </c>
      <c r="E16" s="10">
        <v>0.15463499999999999</v>
      </c>
      <c r="F16" s="10">
        <v>0.27</v>
      </c>
      <c r="G16" s="2">
        <f t="shared" si="1"/>
        <v>6240</v>
      </c>
      <c r="H16" s="2">
        <f t="shared" ref="H16:R16" si="15">G16</f>
        <v>6240</v>
      </c>
      <c r="I16" s="2">
        <f t="shared" si="15"/>
        <v>6240</v>
      </c>
      <c r="J16" s="2">
        <f t="shared" si="15"/>
        <v>6240</v>
      </c>
      <c r="K16" s="2">
        <f t="shared" si="15"/>
        <v>6240</v>
      </c>
      <c r="L16" s="2">
        <f t="shared" si="15"/>
        <v>6240</v>
      </c>
      <c r="M16" s="2">
        <f t="shared" si="15"/>
        <v>6240</v>
      </c>
      <c r="N16" s="2">
        <f t="shared" si="15"/>
        <v>6240</v>
      </c>
      <c r="O16" s="2">
        <f t="shared" si="15"/>
        <v>6240</v>
      </c>
      <c r="P16" s="2">
        <f t="shared" si="15"/>
        <v>6240</v>
      </c>
      <c r="Q16" s="2">
        <f t="shared" si="15"/>
        <v>6240</v>
      </c>
      <c r="R16" s="2">
        <f t="shared" si="15"/>
        <v>6240</v>
      </c>
      <c r="S16" s="5">
        <v>2000</v>
      </c>
    </row>
    <row r="17" spans="1:19">
      <c r="A17" s="7" t="s">
        <v>2</v>
      </c>
      <c r="B17" s="7" t="s">
        <v>9</v>
      </c>
      <c r="C17" s="2" t="s">
        <v>28</v>
      </c>
      <c r="D17" s="3">
        <v>220</v>
      </c>
      <c r="E17" s="10">
        <v>0.46</v>
      </c>
      <c r="F17" s="10">
        <v>0.22</v>
      </c>
      <c r="G17" s="2">
        <f t="shared" si="1"/>
        <v>5720</v>
      </c>
      <c r="H17" s="2">
        <f t="shared" ref="H17:R17" si="16">G17</f>
        <v>5720</v>
      </c>
      <c r="I17" s="2">
        <f t="shared" si="16"/>
        <v>5720</v>
      </c>
      <c r="J17" s="2">
        <f t="shared" si="16"/>
        <v>5720</v>
      </c>
      <c r="K17" s="2">
        <f t="shared" si="16"/>
        <v>5720</v>
      </c>
      <c r="L17" s="2">
        <f t="shared" si="16"/>
        <v>5720</v>
      </c>
      <c r="M17" s="2">
        <f t="shared" si="16"/>
        <v>5720</v>
      </c>
      <c r="N17" s="2">
        <f t="shared" si="16"/>
        <v>5720</v>
      </c>
      <c r="O17" s="2">
        <f t="shared" si="16"/>
        <v>5720</v>
      </c>
      <c r="P17" s="2">
        <f t="shared" si="16"/>
        <v>5720</v>
      </c>
      <c r="Q17" s="2">
        <f t="shared" si="16"/>
        <v>5720</v>
      </c>
      <c r="R17" s="2">
        <f t="shared" si="16"/>
        <v>5720</v>
      </c>
      <c r="S17" s="5">
        <v>2000</v>
      </c>
    </row>
    <row r="18" spans="1:19">
      <c r="A18" s="1" t="s">
        <v>29</v>
      </c>
      <c r="B18" s="1" t="s">
        <v>30</v>
      </c>
      <c r="C18" s="2" t="s">
        <v>31</v>
      </c>
      <c r="D18" s="3" t="s">
        <v>32</v>
      </c>
      <c r="E18" s="3">
        <v>0</v>
      </c>
      <c r="F18" s="14">
        <v>2.4166666666666666E-2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5">
        <v>2000</v>
      </c>
    </row>
    <row r="19" spans="1:19">
      <c r="A19" s="1" t="s">
        <v>29</v>
      </c>
      <c r="B19" s="1" t="s">
        <v>30</v>
      </c>
      <c r="C19" s="2" t="s">
        <v>33</v>
      </c>
      <c r="D19" s="3" t="s">
        <v>32</v>
      </c>
      <c r="E19" s="14">
        <v>0.4345</v>
      </c>
      <c r="F19" s="14">
        <v>9.5000000000000001E-2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5">
        <v>2000</v>
      </c>
    </row>
    <row r="20" spans="1:19">
      <c r="A20" s="1" t="s">
        <v>29</v>
      </c>
      <c r="B20" s="1" t="s">
        <v>30</v>
      </c>
      <c r="C20" s="2" t="s">
        <v>46</v>
      </c>
      <c r="D20" s="3" t="s">
        <v>32</v>
      </c>
      <c r="E20" s="3">
        <v>0.48</v>
      </c>
      <c r="F20" s="3">
        <v>0.14000000000000001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5">
        <v>2000</v>
      </c>
    </row>
    <row r="21" spans="1:19">
      <c r="A21" s="15" t="s">
        <v>29</v>
      </c>
      <c r="B21" s="15" t="s">
        <v>34</v>
      </c>
      <c r="C21" s="2" t="s">
        <v>31</v>
      </c>
      <c r="D21" s="3" t="s">
        <v>35</v>
      </c>
      <c r="E21" s="3">
        <v>0</v>
      </c>
      <c r="F21" s="14">
        <v>2.4166666666666666E-2</v>
      </c>
      <c r="G21" s="2">
        <v>15000</v>
      </c>
      <c r="H21" s="2">
        <v>9265</v>
      </c>
      <c r="I21" s="2">
        <v>11876</v>
      </c>
      <c r="J21" s="2">
        <v>22300</v>
      </c>
      <c r="K21" s="2">
        <v>26042</v>
      </c>
      <c r="L21" s="2">
        <v>24250</v>
      </c>
      <c r="M21" s="2">
        <v>26290</v>
      </c>
      <c r="N21" s="2">
        <v>26282</v>
      </c>
      <c r="O21" s="2">
        <v>26010</v>
      </c>
      <c r="P21" s="2">
        <v>17611</v>
      </c>
      <c r="Q21" s="2">
        <v>15611</v>
      </c>
      <c r="R21" s="2">
        <v>15611</v>
      </c>
      <c r="S21" s="5">
        <v>2000</v>
      </c>
    </row>
    <row r="22" spans="1:19">
      <c r="A22" s="15" t="s">
        <v>29</v>
      </c>
      <c r="B22" s="15" t="s">
        <v>36</v>
      </c>
      <c r="C22" s="2" t="s">
        <v>33</v>
      </c>
      <c r="D22" s="3">
        <v>900</v>
      </c>
      <c r="E22" s="14">
        <v>0.1845</v>
      </c>
      <c r="F22" s="14">
        <v>9.5000000000000001E-2</v>
      </c>
      <c r="G22" s="2">
        <v>15000</v>
      </c>
      <c r="H22" s="2">
        <v>9265</v>
      </c>
      <c r="I22" s="2">
        <v>11876</v>
      </c>
      <c r="J22" s="2">
        <v>22300</v>
      </c>
      <c r="K22" s="2">
        <v>26042</v>
      </c>
      <c r="L22" s="2">
        <v>24250</v>
      </c>
      <c r="M22" s="2">
        <v>26290</v>
      </c>
      <c r="N22" s="2">
        <v>26282</v>
      </c>
      <c r="O22" s="2">
        <v>26010</v>
      </c>
      <c r="P22" s="2">
        <v>17611</v>
      </c>
      <c r="Q22" s="2">
        <v>15611</v>
      </c>
      <c r="R22" s="2">
        <v>15611</v>
      </c>
      <c r="S22" s="5">
        <v>2000</v>
      </c>
    </row>
    <row r="23" spans="1:19">
      <c r="A23" s="15" t="s">
        <v>29</v>
      </c>
      <c r="B23" s="15" t="s">
        <v>36</v>
      </c>
      <c r="C23" s="2" t="s">
        <v>46</v>
      </c>
      <c r="D23" s="3">
        <v>900</v>
      </c>
      <c r="E23" s="3">
        <v>0.46</v>
      </c>
      <c r="F23" s="3">
        <v>0.14000000000000001</v>
      </c>
      <c r="G23" s="5">
        <v>21000</v>
      </c>
      <c r="H23" s="5">
        <v>17790</v>
      </c>
      <c r="I23" s="5">
        <v>8085</v>
      </c>
      <c r="J23" s="5">
        <v>7085</v>
      </c>
      <c r="K23" s="5">
        <v>15510</v>
      </c>
      <c r="L23" s="5">
        <v>12090</v>
      </c>
      <c r="M23" s="5">
        <v>9045</v>
      </c>
      <c r="N23" s="5">
        <v>9045</v>
      </c>
      <c r="O23" s="5">
        <v>9045</v>
      </c>
      <c r="P23" s="5">
        <v>9045</v>
      </c>
      <c r="Q23" s="5">
        <v>9010</v>
      </c>
      <c r="R23" s="5">
        <v>7015</v>
      </c>
      <c r="S23" s="5">
        <v>2000</v>
      </c>
    </row>
    <row r="24" spans="1:19">
      <c r="A24" s="5" t="s">
        <v>29</v>
      </c>
      <c r="B24" s="5" t="s">
        <v>36</v>
      </c>
      <c r="C24" s="5" t="s">
        <v>46</v>
      </c>
      <c r="D24" s="16">
        <v>240</v>
      </c>
      <c r="E24" s="16">
        <v>0.46</v>
      </c>
      <c r="F24" s="16">
        <v>0.14000000000000001</v>
      </c>
      <c r="G24" s="5">
        <v>2200</v>
      </c>
      <c r="H24" s="5">
        <v>1600</v>
      </c>
      <c r="I24" s="5">
        <v>3300</v>
      </c>
      <c r="J24" s="5">
        <v>8600</v>
      </c>
      <c r="K24" s="5">
        <v>9300</v>
      </c>
      <c r="L24" s="5">
        <v>9300</v>
      </c>
      <c r="M24" s="5">
        <v>9300</v>
      </c>
      <c r="N24" s="5">
        <v>9300</v>
      </c>
      <c r="O24" s="5">
        <v>9300</v>
      </c>
      <c r="P24" s="5">
        <v>9300</v>
      </c>
      <c r="Q24" s="5">
        <v>8100</v>
      </c>
      <c r="R24" s="5">
        <v>8100</v>
      </c>
      <c r="S24" s="5">
        <v>6000</v>
      </c>
    </row>
    <row r="25" spans="1:19">
      <c r="A25" s="1" t="s">
        <v>29</v>
      </c>
      <c r="B25" s="1" t="s">
        <v>37</v>
      </c>
      <c r="C25" s="2" t="s">
        <v>31</v>
      </c>
      <c r="D25" s="3" t="s">
        <v>32</v>
      </c>
      <c r="E25" s="3">
        <v>0</v>
      </c>
      <c r="F25" s="3">
        <v>1.45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5">
        <v>2000</v>
      </c>
    </row>
    <row r="26" spans="1:19">
      <c r="A26" s="1" t="s">
        <v>29</v>
      </c>
      <c r="B26" s="1" t="s">
        <v>37</v>
      </c>
      <c r="C26" s="2" t="s">
        <v>33</v>
      </c>
      <c r="D26" s="3" t="s">
        <v>32</v>
      </c>
      <c r="E26" s="14">
        <v>0.1845</v>
      </c>
      <c r="F26" s="14">
        <v>9.5000000000000001E-2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5">
        <v>2000</v>
      </c>
    </row>
    <row r="27" spans="1:19">
      <c r="A27" s="1" t="s">
        <v>29</v>
      </c>
      <c r="B27" s="1" t="s">
        <v>37</v>
      </c>
      <c r="C27" s="2" t="s">
        <v>46</v>
      </c>
      <c r="D27" s="3" t="s">
        <v>32</v>
      </c>
      <c r="E27" s="3">
        <v>0.41</v>
      </c>
      <c r="F27" s="3">
        <v>0.15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5">
        <v>2000</v>
      </c>
    </row>
    <row r="28" spans="1:19">
      <c r="A28" s="15" t="s">
        <v>38</v>
      </c>
      <c r="B28" s="15" t="s">
        <v>39</v>
      </c>
      <c r="C28" s="2" t="s">
        <v>31</v>
      </c>
      <c r="D28" s="3" t="s">
        <v>40</v>
      </c>
      <c r="E28" s="3" t="s">
        <v>40</v>
      </c>
      <c r="F28" s="3" t="s">
        <v>40</v>
      </c>
      <c r="G28" s="2">
        <v>105</v>
      </c>
      <c r="H28" s="2">
        <v>105</v>
      </c>
      <c r="I28" s="2">
        <v>105</v>
      </c>
      <c r="J28" s="2">
        <v>105</v>
      </c>
      <c r="K28" s="2">
        <v>105</v>
      </c>
      <c r="L28" s="2">
        <v>105</v>
      </c>
      <c r="M28" s="2">
        <v>105</v>
      </c>
      <c r="N28" s="2">
        <v>105</v>
      </c>
      <c r="O28" s="2">
        <v>0</v>
      </c>
      <c r="P28" s="2">
        <v>0</v>
      </c>
      <c r="Q28" s="2">
        <v>0</v>
      </c>
      <c r="R28" s="2">
        <v>0</v>
      </c>
      <c r="S28" s="5">
        <v>2000</v>
      </c>
    </row>
    <row r="29" spans="1:19">
      <c r="A29" s="15" t="s">
        <v>38</v>
      </c>
      <c r="B29" s="15" t="s">
        <v>41</v>
      </c>
      <c r="C29" s="2" t="s">
        <v>33</v>
      </c>
      <c r="D29" s="3" t="s">
        <v>40</v>
      </c>
      <c r="E29" s="3" t="s">
        <v>40</v>
      </c>
      <c r="F29" s="3" t="s">
        <v>40</v>
      </c>
      <c r="G29" s="2">
        <v>105</v>
      </c>
      <c r="H29" s="2">
        <v>105</v>
      </c>
      <c r="I29" s="2">
        <v>105</v>
      </c>
      <c r="J29" s="2">
        <v>105</v>
      </c>
      <c r="K29" s="2">
        <v>105</v>
      </c>
      <c r="L29" s="2">
        <v>105</v>
      </c>
      <c r="M29" s="2">
        <v>105</v>
      </c>
      <c r="N29" s="2">
        <v>105</v>
      </c>
      <c r="O29" s="2">
        <v>0</v>
      </c>
      <c r="P29" s="2">
        <v>0</v>
      </c>
      <c r="Q29" s="2">
        <v>0</v>
      </c>
      <c r="R29" s="2">
        <v>0</v>
      </c>
      <c r="S29" s="5">
        <v>2000</v>
      </c>
    </row>
    <row r="30" spans="1:19">
      <c r="A30" s="15" t="s">
        <v>38</v>
      </c>
      <c r="B30" s="15" t="s">
        <v>41</v>
      </c>
      <c r="C30" s="2" t="s">
        <v>46</v>
      </c>
      <c r="D30" s="3" t="s">
        <v>32</v>
      </c>
      <c r="E30" s="3">
        <v>0.24</v>
      </c>
      <c r="F30" s="3">
        <v>0.19</v>
      </c>
      <c r="G30" s="2">
        <v>100</v>
      </c>
      <c r="H30" s="2">
        <v>100</v>
      </c>
      <c r="I30" s="2">
        <v>100</v>
      </c>
      <c r="J30" s="2">
        <v>100</v>
      </c>
      <c r="K30" s="2">
        <v>100</v>
      </c>
      <c r="L30" s="2">
        <v>100</v>
      </c>
      <c r="M30" s="2">
        <v>100</v>
      </c>
      <c r="N30" s="2">
        <v>100</v>
      </c>
      <c r="O30" s="2">
        <v>0</v>
      </c>
      <c r="P30" s="2">
        <v>0</v>
      </c>
      <c r="Q30" s="2">
        <v>0</v>
      </c>
      <c r="R30" s="2">
        <v>0</v>
      </c>
      <c r="S30" s="5">
        <v>1000</v>
      </c>
    </row>
    <row r="31" spans="1:19">
      <c r="A31" s="1" t="s">
        <v>38</v>
      </c>
      <c r="B31" s="1" t="s">
        <v>42</v>
      </c>
      <c r="C31" s="2" t="s">
        <v>31</v>
      </c>
      <c r="D31" s="3" t="s">
        <v>32</v>
      </c>
      <c r="E31" s="3">
        <v>0</v>
      </c>
      <c r="F31" s="3">
        <v>1.17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5">
        <v>2000</v>
      </c>
    </row>
    <row r="32" spans="1:19">
      <c r="A32" s="1" t="s">
        <v>38</v>
      </c>
      <c r="B32" s="1" t="s">
        <v>42</v>
      </c>
      <c r="C32" s="2" t="s">
        <v>33</v>
      </c>
      <c r="D32" s="3" t="s">
        <v>32</v>
      </c>
      <c r="E32" s="14">
        <v>0.4345</v>
      </c>
      <c r="F32" s="14">
        <v>9.166666666666666E-2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5">
        <v>2000</v>
      </c>
    </row>
    <row r="33" spans="1:19">
      <c r="A33" s="1" t="s">
        <v>38</v>
      </c>
      <c r="B33" s="1" t="s">
        <v>42</v>
      </c>
      <c r="C33" s="2" t="s">
        <v>46</v>
      </c>
      <c r="D33" s="3" t="s">
        <v>32</v>
      </c>
      <c r="E33" s="3">
        <v>0.24</v>
      </c>
      <c r="F33" s="3">
        <v>0.19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5">
        <v>1000</v>
      </c>
    </row>
    <row r="34" spans="1:19">
      <c r="A34" s="15" t="s">
        <v>38</v>
      </c>
      <c r="B34" s="15" t="s">
        <v>43</v>
      </c>
      <c r="C34" s="2" t="s">
        <v>31</v>
      </c>
      <c r="D34" s="3" t="s">
        <v>35</v>
      </c>
      <c r="E34" s="14">
        <v>0</v>
      </c>
      <c r="F34" s="14">
        <v>1.95E-2</v>
      </c>
      <c r="G34" s="3">
        <v>10695</v>
      </c>
      <c r="H34" s="3">
        <v>5960</v>
      </c>
      <c r="I34" s="2">
        <v>7622</v>
      </c>
      <c r="J34" s="2">
        <v>16295</v>
      </c>
      <c r="K34" s="2">
        <v>16295</v>
      </c>
      <c r="L34" s="2">
        <v>16295</v>
      </c>
      <c r="M34" s="2">
        <v>13895</v>
      </c>
      <c r="N34" s="2">
        <v>13895</v>
      </c>
      <c r="O34" s="2">
        <v>14000</v>
      </c>
      <c r="P34" s="2">
        <v>11500</v>
      </c>
      <c r="Q34" s="2">
        <v>11500</v>
      </c>
      <c r="R34" s="2">
        <v>11500</v>
      </c>
      <c r="S34" s="5">
        <v>2000</v>
      </c>
    </row>
    <row r="35" spans="1:19">
      <c r="A35" s="15" t="s">
        <v>38</v>
      </c>
      <c r="B35" s="15" t="s">
        <v>43</v>
      </c>
      <c r="C35" s="2" t="s">
        <v>33</v>
      </c>
      <c r="D35" s="3">
        <v>525</v>
      </c>
      <c r="E35" s="14">
        <v>0.21116666666666667</v>
      </c>
      <c r="F35" s="14">
        <v>9.0999999999999998E-2</v>
      </c>
      <c r="G35" s="3">
        <v>10695</v>
      </c>
      <c r="H35" s="3">
        <v>5960</v>
      </c>
      <c r="I35" s="2">
        <v>7622</v>
      </c>
      <c r="J35" s="2">
        <v>16295</v>
      </c>
      <c r="K35" s="2">
        <v>16295</v>
      </c>
      <c r="L35" s="2">
        <v>16295</v>
      </c>
      <c r="M35" s="2">
        <v>13895</v>
      </c>
      <c r="N35" s="2">
        <v>13895</v>
      </c>
      <c r="O35" s="2">
        <v>14000</v>
      </c>
      <c r="P35" s="2">
        <v>11500</v>
      </c>
      <c r="Q35" s="2">
        <v>11500</v>
      </c>
      <c r="R35" s="2">
        <v>11500</v>
      </c>
      <c r="S35" s="5">
        <v>2000</v>
      </c>
    </row>
    <row r="36" spans="1:19">
      <c r="A36" s="15" t="s">
        <v>38</v>
      </c>
      <c r="B36" s="15" t="s">
        <v>43</v>
      </c>
      <c r="C36" s="2" t="s">
        <v>46</v>
      </c>
      <c r="D36" s="3">
        <v>255</v>
      </c>
      <c r="E36" s="3">
        <v>0.27</v>
      </c>
      <c r="F36" s="3">
        <v>0.24</v>
      </c>
      <c r="G36" s="2">
        <v>7250</v>
      </c>
      <c r="H36" s="2">
        <v>5190</v>
      </c>
      <c r="I36" s="2">
        <v>2869</v>
      </c>
      <c r="J36" s="2">
        <v>3683</v>
      </c>
      <c r="K36" s="2">
        <v>7932</v>
      </c>
      <c r="L36" s="2">
        <v>7932</v>
      </c>
      <c r="M36" s="2">
        <v>7932</v>
      </c>
      <c r="N36" s="2">
        <v>6760</v>
      </c>
      <c r="O36" s="2">
        <v>6860</v>
      </c>
      <c r="P36" s="2">
        <v>6860</v>
      </c>
      <c r="Q36" s="2">
        <v>5635</v>
      </c>
      <c r="R36" s="2">
        <v>5635</v>
      </c>
      <c r="S36" s="5">
        <v>1000</v>
      </c>
    </row>
    <row r="37" spans="1:19">
      <c r="A37" s="5" t="s">
        <v>38</v>
      </c>
      <c r="B37" s="5" t="s">
        <v>43</v>
      </c>
      <c r="C37" s="2" t="s">
        <v>46</v>
      </c>
      <c r="D37" s="16"/>
      <c r="E37" s="16">
        <v>0.27</v>
      </c>
      <c r="F37" s="16">
        <v>0.24</v>
      </c>
      <c r="G37" s="5">
        <v>0</v>
      </c>
      <c r="H37" s="5">
        <v>0</v>
      </c>
      <c r="I37" s="5">
        <v>0</v>
      </c>
      <c r="J37" s="5">
        <v>0</v>
      </c>
      <c r="K37" s="5">
        <v>1000</v>
      </c>
      <c r="L37" s="5">
        <v>1000</v>
      </c>
      <c r="M37" s="5">
        <v>1000</v>
      </c>
      <c r="N37" s="5">
        <v>1000</v>
      </c>
      <c r="O37" s="5">
        <v>1000</v>
      </c>
      <c r="P37" s="5">
        <v>1000</v>
      </c>
      <c r="Q37" s="5">
        <v>1000</v>
      </c>
      <c r="R37" s="5">
        <v>1000</v>
      </c>
      <c r="S37" s="5">
        <v>6000</v>
      </c>
    </row>
    <row r="38" spans="1:19">
      <c r="A38" s="1" t="s">
        <v>38</v>
      </c>
      <c r="B38" s="1" t="s">
        <v>44</v>
      </c>
      <c r="C38" s="2" t="s">
        <v>31</v>
      </c>
      <c r="D38" s="3" t="s">
        <v>40</v>
      </c>
      <c r="E38" s="3" t="s">
        <v>40</v>
      </c>
      <c r="F38" s="3" t="s">
        <v>40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5">
        <v>2000</v>
      </c>
    </row>
    <row r="39" spans="1:19">
      <c r="A39" s="1" t="s">
        <v>38</v>
      </c>
      <c r="B39" s="1" t="s">
        <v>44</v>
      </c>
      <c r="C39" s="2" t="s">
        <v>33</v>
      </c>
      <c r="D39" s="3" t="s">
        <v>40</v>
      </c>
      <c r="E39" s="3" t="s">
        <v>40</v>
      </c>
      <c r="F39" s="3" t="s">
        <v>40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5">
        <v>2000</v>
      </c>
    </row>
    <row r="40" spans="1:19">
      <c r="A40" s="1" t="s">
        <v>38</v>
      </c>
      <c r="B40" s="1" t="s">
        <v>45</v>
      </c>
      <c r="C40" s="2" t="s">
        <v>46</v>
      </c>
      <c r="D40" s="3" t="s">
        <v>40</v>
      </c>
      <c r="E40" s="3" t="s">
        <v>40</v>
      </c>
      <c r="F40" s="3" t="s">
        <v>40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5">
        <v>1000</v>
      </c>
    </row>
  </sheetData>
  <phoneticPr fontId="1" type="noConversion"/>
  <pageMargins left="0.7" right="0.7" top="0.75" bottom="0.75" header="0.3" footer="0.3"/>
  <pageSetup paperSize="9" orientation="portrait" r:id="rId1"/>
  <legacy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李明耀 Roy Li</dc:creator>
  <cp:lastModifiedBy>Yannong Huang</cp:lastModifiedBy>
  <dcterms:created xsi:type="dcterms:W3CDTF">2015-06-05T18:19:34Z</dcterms:created>
  <dcterms:modified xsi:type="dcterms:W3CDTF">2024-07-19T06:45:13Z</dcterms:modified>
</cp:coreProperties>
</file>